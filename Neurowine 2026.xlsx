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Orçamento - Rendimentos" sheetId="2" r:id="rId6"/>
    <sheet name="Orçamento - Despesas" sheetId="3" r:id="rId7"/>
    <sheet name="Orçamento - Rede" sheetId="4" r:id="rId8"/>
    <sheet name="Orçamento - Desenhos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<sst xmlns="http://schemas.openxmlformats.org/spreadsheetml/2006/main" uniqueCount="46">
  <si>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</si>
  <si>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</si>
  <si>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</si>
  <si>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</si>
  <si>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Orçamento</t>
  </si>
  <si>
    <t>Rendimentos</t>
  </si>
  <si>
    <t>Orçamento - Rendimentos</t>
  </si>
  <si>
    <t>Dinheiro Entrando</t>
  </si>
  <si>
    <t xml:space="preserve">Patrocinadores </t>
  </si>
  <si>
    <t xml:space="preserve">Inscrições  + Chateau 4 quartos  </t>
  </si>
  <si>
    <t xml:space="preserve">Diarias Chateau socios </t>
  </si>
  <si>
    <t xml:space="preserve">Inscrições + Le Canard 18 quartos </t>
  </si>
  <si>
    <t xml:space="preserve">Estudantes </t>
  </si>
  <si>
    <t>Medicos de Lages</t>
  </si>
  <si>
    <t>Rendimentos totais</t>
  </si>
  <si>
    <t>Despesas</t>
  </si>
  <si>
    <t>Orçamento - Despesas</t>
  </si>
  <si>
    <t>Dinheiro Saindo</t>
  </si>
  <si>
    <t>Medico sozinho</t>
  </si>
  <si>
    <t>Casal Le Canard</t>
  </si>
  <si>
    <t>Medico só no Chateau</t>
  </si>
  <si>
    <t>Casal no Chateau</t>
  </si>
  <si>
    <t>Médico de Lages</t>
  </si>
  <si>
    <t>Estudante</t>
  </si>
  <si>
    <t>Chateau espaço + consultoria Sérgio</t>
  </si>
  <si>
    <t>Hotel Chateau  - 6 suites  + estacionamento</t>
  </si>
  <si>
    <t>Hotel Le Canard</t>
  </si>
  <si>
    <t>Jantar Muzzarela</t>
  </si>
  <si>
    <t xml:space="preserve">Café com menta ( finger sexta e sábado ) </t>
  </si>
  <si>
    <t xml:space="preserve">Villa Francioni </t>
  </si>
  <si>
    <t xml:space="preserve">Fazenda Barreiro </t>
  </si>
  <si>
    <t>Almoço Kasa</t>
  </si>
  <si>
    <t xml:space="preserve">Transfer NOVA ALMAN </t>
  </si>
  <si>
    <t xml:space="preserve">Gráfica / impressos </t>
  </si>
  <si>
    <t xml:space="preserve">Sonorização / multimídia  </t>
  </si>
  <si>
    <t xml:space="preserve">Casa do vinho </t>
  </si>
  <si>
    <t xml:space="preserve">Drinks sexta </t>
  </si>
  <si>
    <t>Fotografia</t>
  </si>
  <si>
    <t>Receptivo / secretaria</t>
  </si>
  <si>
    <t>Despesas totais</t>
  </si>
  <si>
    <t>Rede</t>
  </si>
  <si>
    <t>Orçamento - Rede</t>
  </si>
  <si>
    <t>Dinheiro Restante</t>
  </si>
  <si>
    <t>Rendimentos menos despesas</t>
  </si>
  <si>
    <t>“Todos os Desenhos da Folha”</t>
  </si>
  <si>
    <t>Orçamento - Desenhos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</si>
</sst>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R$-416] #,##0"/>
    <numFmt numFmtId="60" formatCode="#,##0%"/>
  </numFmts>
  <fonts count="9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12"/>
      <name val="Helvetica Neue"/>
    </font>
    <font>
      <sz val="10"/>
      <color indexed="8"/>
      <name val="Helvetica Neue Medium"/>
    </font>
    <font>
      <b val="1"/>
      <sz val="10"/>
      <color indexed="8"/>
      <name val="Helvetica Neue"/>
    </font>
    <font>
      <sz val="12"/>
      <color indexed="12"/>
      <name val="Helvetica Neue"/>
    </font>
    <font>
      <b val="1"/>
      <sz val="24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13">
    <border>
      <left/>
      <right/>
      <top/>
      <bottom/>
      <diagonal/>
    </border>
    <border>
      <left style="thin">
        <color indexed="14"/>
      </left>
      <right style="thin">
        <color indexed="12"/>
      </right>
      <top style="thin">
        <color indexed="14"/>
      </top>
      <bottom style="thin">
        <color indexed="15"/>
      </bottom>
      <diagonal/>
    </border>
    <border>
      <left style="thin">
        <color indexed="12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2" applyNumberFormat="0" applyFont="1" applyFill="1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vertical="top" wrapText="1"/>
    </xf>
    <xf numFmtId="59" fontId="0" fillId="5" borderId="8" applyNumberFormat="1" applyFont="1" applyFill="1" applyBorder="1" applyAlignment="1" applyProtection="0">
      <alignment vertical="top" wrapText="1"/>
    </xf>
    <xf numFmtId="49" fontId="6" fillId="6" borderId="9" applyNumberFormat="1" applyFont="1" applyFill="1" applyBorder="1" applyAlignment="1" applyProtection="0">
      <alignment vertical="top" wrapText="1"/>
    </xf>
    <xf numFmtId="59" fontId="6" fillId="6" borderId="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7" borderId="1" applyNumberFormat="1" applyFont="1" applyFill="1" applyBorder="1" applyAlignment="1" applyProtection="0">
      <alignment vertical="top" wrapText="1"/>
    </xf>
    <xf numFmtId="0" fontId="4" fillId="7" borderId="10" applyNumberFormat="0" applyFont="1" applyFill="1" applyBorder="1" applyAlignment="1" applyProtection="0">
      <alignment vertical="top" wrapText="1"/>
    </xf>
    <xf numFmtId="49" fontId="4" fillId="7" borderId="10" applyNumberFormat="1" applyFont="1" applyFill="1" applyBorder="1" applyAlignment="1" applyProtection="0">
      <alignment vertical="top" wrapText="1"/>
    </xf>
    <xf numFmtId="49" fontId="4" fillId="7" borderId="2" applyNumberFormat="1" applyFont="1" applyFill="1" applyBorder="1" applyAlignment="1" applyProtection="0">
      <alignment vertical="top" wrapText="1"/>
    </xf>
    <xf numFmtId="59" fontId="0" borderId="9" applyNumberFormat="1" applyFont="1" applyFill="0" applyBorder="1" applyAlignment="1" applyProtection="0">
      <alignment vertical="top" wrapText="1"/>
    </xf>
    <xf numFmtId="59" fontId="0" fillId="5" borderId="11" applyNumberFormat="1" applyFont="1" applyFill="1" applyBorder="1" applyAlignment="1" applyProtection="0">
      <alignment vertical="top" wrapText="1"/>
    </xf>
    <xf numFmtId="59" fontId="0" borderId="11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59" fontId="0" borderId="1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8" borderId="1" applyNumberFormat="1" applyFont="1" applyFill="1" applyBorder="1" applyAlignment="1" applyProtection="0">
      <alignment vertical="top" wrapText="1"/>
    </xf>
    <xf numFmtId="0" fontId="4" fillId="8" borderId="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ffe"/>
      <rgbColor rgb="ff60d837"/>
      <rgbColor rgb="ffc8c8c8"/>
      <rgbColor rgb="ff89847f"/>
      <rgbColor rgb="fff7f7f6"/>
      <rgbColor rgb="ffececea"/>
      <rgbColor rgb="ffff2500"/>
      <rgbColor rgb="ff00a2ff"/>
      <rgbColor rgb="ff919191"/>
      <rgbColor rgb="fff8ba00"/>
      <rgbColor rgb="fffe2500"/>
      <rgbColor rgb="ff22aeff"/>
      <rgbColor rgb="ff73dd4d"/>
      <rgbColor rgb="ffa0a0a0"/>
      <rgbColor rgb="fff9c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Dinheiro Saindo</a:t>
            </a:r>
          </a:p>
        </c:rich>
      </c:tx>
      <c:layout>
        <c:manualLayout>
          <c:xMode val="edge"/>
          <c:yMode val="edge"/>
          <c:x val="0.319381"/>
          <c:y val="0"/>
          <c:w val="0.379307"/>
          <c:h val="0.067276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12565"/>
          <c:y val="0.0672764"/>
          <c:w val="0.955556"/>
          <c:h val="0.551108"/>
        </c:manualLayout>
      </c:layout>
      <c:doughnutChart>
        <c:varyColors val="0"/>
        <c:ser>
          <c:idx val="0"/>
          <c:order val="0"/>
          <c:tx>
            <c:strRef>
              <c:f>'Orçamento - Despesas'!$B$1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Pt>
            <c:idx val="9"/>
            <c:explosion val="0"/>
            <c:spPr>
              <a:solidFill>
                <a:srgbClr val="F9C321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9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'Orçamento - Despesas'!$A$2:$A$11</c:f>
              <c:strCache>
                <c:ptCount val="10"/>
                <c:pt idx="0">
                  <c:v>Chateau espaço + consultoria Sérgio</c:v>
                </c:pt>
                <c:pt idx="1">
                  <c:v>Hotel Chateau  - 6 suites  + estacionamento</c:v>
                </c:pt>
                <c:pt idx="2">
                  <c:v>Hotel Le Canard</c:v>
                </c:pt>
                <c:pt idx="3">
                  <c:v>Jantar Muzzarela</c:v>
                </c:pt>
                <c:pt idx="4">
                  <c:v>Café com menta ( finger sexta e sábado ) </c:v>
                </c:pt>
                <c:pt idx="5">
                  <c:v>Villa Francioni </c:v>
                </c:pt>
                <c:pt idx="6">
                  <c:v>Fazenda Barreiro </c:v>
                </c:pt>
                <c:pt idx="7">
                  <c:v>Almoço Kasa</c:v>
                </c:pt>
                <c:pt idx="8">
                  <c:v>Transfer NOVA ALMAN </c:v>
                </c:pt>
                <c:pt idx="9">
                  <c:v>Gráfica / impressos </c:v>
                </c:pt>
              </c:strCache>
            </c:strRef>
          </c:cat>
          <c:val>
            <c:numRef>
              <c:f>'Orçamento - Despesas'!$B$2:$B$11</c:f>
              <c:numCache>
                <c:ptCount val="10"/>
                <c:pt idx="0">
                  <c:v>28000.000000</c:v>
                </c:pt>
                <c:pt idx="1">
                  <c:v>12000.000000</c:v>
                </c:pt>
                <c:pt idx="2">
                  <c:v>11340.000000</c:v>
                </c:pt>
                <c:pt idx="3">
                  <c:v>10000.000000</c:v>
                </c:pt>
                <c:pt idx="4">
                  <c:v>20000.000000</c:v>
                </c:pt>
                <c:pt idx="5">
                  <c:v>11500.000000</c:v>
                </c:pt>
                <c:pt idx="6">
                  <c:v>9500.000000</c:v>
                </c:pt>
                <c:pt idx="7">
                  <c:v>9500.000000</c:v>
                </c:pt>
                <c:pt idx="8">
                  <c:v>12000.000000</c:v>
                </c:pt>
                <c:pt idx="9">
                  <c:v>700.000000</c:v>
                </c:pt>
              </c:numCache>
            </c:numRef>
          </c:val>
        </c:ser>
        <c:firstSliceAng val="0"/>
        <c:holeSize val="50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680268"/>
          <c:w val="1"/>
          <c:h val="0.31973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12</xdr:col>
      <xdr:colOff>393284</xdr:colOff>
      <xdr:row>5</xdr:row>
      <xdr:rowOff>80467</xdr:rowOff>
    </xdr:from>
    <xdr:to>
      <xdr:col>16</xdr:col>
      <xdr:colOff>202784</xdr:colOff>
      <xdr:row>34</xdr:row>
      <xdr:rowOff>137247</xdr:rowOff>
    </xdr:to>
    <xdr:graphicFrame>
      <xdr:nvGraphicFramePr>
        <xdr:cNvPr id="2" name="Gráfico de Donut 2D"/>
        <xdr:cNvGraphicFramePr/>
      </xdr:nvGraphicFramePr>
      <xdr:xfrm>
        <a:off x="9537284" y="905967"/>
        <a:ext cx="2857501" cy="48446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38100</xdr:colOff>
      <xdr:row>3</xdr:row>
      <xdr:rowOff>34917</xdr:rowOff>
    </xdr:to>
    <xdr:sp>
      <xdr:nvSpPr>
        <xdr:cNvPr id="3" name="Orçamento - base de cálculo para 50 pessoas"/>
        <xdr:cNvSpPr/>
      </xdr:nvSpPr>
      <xdr:spPr>
        <a:xfrm>
          <a:off x="-19050" y="-34580"/>
          <a:ext cx="9182100" cy="53021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Orçamento - base de cálculo para 50 pessoas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1_Simple_Budget">
  <a:themeElements>
    <a:clrScheme name="21_Simple_Budge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Simple_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Simple_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15</v>
      </c>
      <c r="D11" t="s" s="5">
        <v>16</v>
      </c>
    </row>
    <row r="12">
      <c r="B12" s="4"/>
      <c r="C12" t="s" s="4">
        <v>40</v>
      </c>
      <c r="D12" t="s" s="5">
        <v>41</v>
      </c>
    </row>
    <row r="13">
      <c r="B13" s="4"/>
      <c r="C13" t="s" s="4">
        <v>44</v>
      </c>
      <c r="D13" t="s" s="5">
        <v>45</v>
      </c>
    </row>
  </sheetData>
  <mergeCells count="1">
    <mergeCell ref="B3:D3"/>
  </mergeCells>
  <hyperlinks>
    <hyperlink ref="D10" location="'Orçamento - Rendimentos'!R1C1" tooltip="" display="Orçamento - Rendimentos"/>
    <hyperlink ref="D11" location="'Orçamento - Despesas'!R1C1" tooltip="" display="Orçamento - Despesas"/>
    <hyperlink ref="D12" location="'Orçamento - Rede'!R1C1" tooltip="" display="Orçamento - Rede"/>
    <hyperlink ref="D13" location="'Orçamento - Desenhos'!R1C1" tooltip="" display="Orçamento - Desenhos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8"/>
  <sheetViews>
    <sheetView workbookViewId="0" showGridLines="0" defaultGridColor="1"/>
  </sheetViews>
  <sheetFormatPr defaultColWidth="36" defaultRowHeight="19.9" customHeight="1" outlineLevelRow="0" outlineLevelCol="0"/>
  <cols>
    <col min="1" max="1" width="36" style="6" customWidth="1"/>
    <col min="2" max="2" width="12" style="6" customWidth="1"/>
    <col min="3" max="16384" width="36" style="6" customWidth="1"/>
  </cols>
  <sheetData>
    <row r="1" ht="20.45" customHeight="1">
      <c r="A1" t="s" s="7">
        <v>7</v>
      </c>
      <c r="B1" s="8"/>
    </row>
    <row r="2" ht="20.45" customHeight="1">
      <c r="A2" t="s" s="9">
        <v>8</v>
      </c>
      <c r="B2" s="10">
        <v>77500</v>
      </c>
    </row>
    <row r="3" ht="20.2" customHeight="1">
      <c r="A3" t="s" s="11">
        <v>9</v>
      </c>
      <c r="B3" s="12">
        <v>19080</v>
      </c>
    </row>
    <row r="4" ht="20.2" customHeight="1">
      <c r="A4" t="s" s="11">
        <v>10</v>
      </c>
      <c r="B4" s="13">
        <v>8400</v>
      </c>
    </row>
    <row r="5" ht="20.2" customHeight="1">
      <c r="A5" t="s" s="11">
        <v>11</v>
      </c>
      <c r="B5" s="12">
        <v>63000</v>
      </c>
    </row>
    <row r="6" ht="20.2" customHeight="1">
      <c r="A6" t="s" s="11">
        <v>12</v>
      </c>
      <c r="B6" s="13">
        <v>3000</v>
      </c>
    </row>
    <row r="7" ht="20.45" customHeight="1">
      <c r="A7" t="s" s="14">
        <v>13</v>
      </c>
      <c r="B7" s="15">
        <v>7200</v>
      </c>
    </row>
    <row r="8" ht="20.45" customHeight="1">
      <c r="A8" t="s" s="16">
        <v>14</v>
      </c>
      <c r="B8" s="17" cm="1">
        <f t="array" ref="B8">SUM(B2:B7)</f>
        <v>178180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7"/>
  <sheetViews>
    <sheetView workbookViewId="0" showGridLines="0" defaultGridColor="1"/>
  </sheetViews>
  <sheetFormatPr defaultColWidth="36" defaultRowHeight="19.9" customHeight="1" outlineLevelRow="0" outlineLevelCol="0"/>
  <cols>
    <col min="1" max="1" width="36" style="18" customWidth="1"/>
    <col min="2" max="8" width="12" style="18" customWidth="1"/>
    <col min="9" max="16384" width="36" style="18" customWidth="1"/>
  </cols>
  <sheetData>
    <row r="1" ht="32.45" customHeight="1">
      <c r="A1" t="s" s="19">
        <v>17</v>
      </c>
      <c r="B1" s="20"/>
      <c r="C1" t="s" s="21">
        <v>18</v>
      </c>
      <c r="D1" t="s" s="21">
        <v>19</v>
      </c>
      <c r="E1" t="s" s="21">
        <v>20</v>
      </c>
      <c r="F1" t="s" s="21">
        <v>21</v>
      </c>
      <c r="G1" t="s" s="21">
        <v>22</v>
      </c>
      <c r="H1" t="s" s="22">
        <v>23</v>
      </c>
    </row>
    <row r="2" ht="20.45" customHeight="1">
      <c r="A2" t="s" s="9">
        <v>24</v>
      </c>
      <c r="B2" s="10">
        <v>28000</v>
      </c>
      <c r="C2" s="23">
        <v>268.33</v>
      </c>
      <c r="D2" s="23">
        <v>520</v>
      </c>
      <c r="E2" s="23">
        <v>268</v>
      </c>
      <c r="F2" s="23">
        <v>520</v>
      </c>
      <c r="G2" s="23">
        <v>268</v>
      </c>
      <c r="H2" s="23">
        <v>300</v>
      </c>
    </row>
    <row r="3" ht="20.2" customHeight="1">
      <c r="A3" t="s" s="11">
        <v>25</v>
      </c>
      <c r="B3" s="12">
        <v>12000</v>
      </c>
      <c r="C3" s="24"/>
      <c r="D3" s="24"/>
      <c r="E3" s="24">
        <v>2815</v>
      </c>
      <c r="F3" s="24">
        <v>2815</v>
      </c>
      <c r="G3" s="24"/>
      <c r="H3" s="24"/>
    </row>
    <row r="4" ht="20.2" customHeight="1">
      <c r="A4" t="s" s="11">
        <v>26</v>
      </c>
      <c r="B4" s="13">
        <v>11340</v>
      </c>
      <c r="C4" s="25">
        <v>520</v>
      </c>
      <c r="D4" s="25">
        <v>630</v>
      </c>
      <c r="E4" s="25"/>
      <c r="F4" s="25"/>
      <c r="G4" s="25"/>
      <c r="H4" s="25"/>
    </row>
    <row r="5" ht="20.2" customHeight="1">
      <c r="A5" t="s" s="11">
        <v>27</v>
      </c>
      <c r="B5" s="12">
        <v>10000</v>
      </c>
      <c r="C5" s="24">
        <v>200</v>
      </c>
      <c r="D5" s="24">
        <v>400</v>
      </c>
      <c r="E5" s="24">
        <v>200</v>
      </c>
      <c r="F5" s="24">
        <v>400</v>
      </c>
      <c r="G5" s="24">
        <v>200</v>
      </c>
      <c r="H5" s="24"/>
    </row>
    <row r="6" ht="20.2" customHeight="1">
      <c r="A6" t="s" s="11">
        <v>28</v>
      </c>
      <c r="B6" s="13">
        <v>20000</v>
      </c>
      <c r="C6" s="25">
        <v>150</v>
      </c>
      <c r="D6" s="25">
        <v>300</v>
      </c>
      <c r="E6" s="25">
        <v>150</v>
      </c>
      <c r="F6" s="25">
        <v>300</v>
      </c>
      <c r="G6" s="25">
        <v>150</v>
      </c>
      <c r="H6" s="25"/>
    </row>
    <row r="7" ht="20.2" customHeight="1">
      <c r="A7" t="s" s="11">
        <v>29</v>
      </c>
      <c r="B7" s="12">
        <v>11500</v>
      </c>
      <c r="C7" s="24">
        <v>230</v>
      </c>
      <c r="D7" s="24">
        <v>460</v>
      </c>
      <c r="E7" s="24">
        <v>230</v>
      </c>
      <c r="F7" s="24">
        <v>460</v>
      </c>
      <c r="G7" s="24">
        <v>230</v>
      </c>
      <c r="H7" s="24"/>
    </row>
    <row r="8" ht="20.2" customHeight="1">
      <c r="A8" t="s" s="11">
        <v>30</v>
      </c>
      <c r="B8" s="13">
        <v>9500</v>
      </c>
      <c r="C8" s="25">
        <v>190</v>
      </c>
      <c r="D8" s="25">
        <v>280</v>
      </c>
      <c r="E8" s="25">
        <v>190</v>
      </c>
      <c r="F8" s="25">
        <v>280</v>
      </c>
      <c r="G8" s="25">
        <v>190</v>
      </c>
      <c r="H8" s="25"/>
    </row>
    <row r="9" ht="20.2" customHeight="1">
      <c r="A9" t="s" s="11">
        <v>31</v>
      </c>
      <c r="B9" s="12">
        <v>9500</v>
      </c>
      <c r="C9" s="24">
        <v>190</v>
      </c>
      <c r="D9" s="24">
        <v>280</v>
      </c>
      <c r="E9" s="24">
        <v>190</v>
      </c>
      <c r="F9" s="24">
        <v>280</v>
      </c>
      <c r="G9" s="24">
        <v>190</v>
      </c>
      <c r="H9" s="24"/>
    </row>
    <row r="10" ht="20.2" customHeight="1">
      <c r="A10" t="s" s="11">
        <v>32</v>
      </c>
      <c r="B10" s="13">
        <v>12000</v>
      </c>
      <c r="C10" s="25">
        <v>130</v>
      </c>
      <c r="D10" s="25">
        <v>260</v>
      </c>
      <c r="E10" s="25">
        <v>130</v>
      </c>
      <c r="F10" s="25">
        <v>260</v>
      </c>
      <c r="G10" s="25">
        <v>130</v>
      </c>
      <c r="H10" s="25"/>
    </row>
    <row r="11" ht="20.2" customHeight="1">
      <c r="A11" t="s" s="11">
        <v>33</v>
      </c>
      <c r="B11" s="12">
        <v>700</v>
      </c>
      <c r="C11" s="24">
        <v>27</v>
      </c>
      <c r="D11" s="24"/>
      <c r="E11" s="24">
        <v>27</v>
      </c>
      <c r="F11" s="24"/>
      <c r="G11" s="24"/>
      <c r="H11" s="24"/>
    </row>
    <row r="12" ht="20.2" customHeight="1">
      <c r="A12" t="s" s="11">
        <v>34</v>
      </c>
      <c r="B12" s="13">
        <v>4850</v>
      </c>
      <c r="C12" s="25">
        <v>80</v>
      </c>
      <c r="D12" s="25"/>
      <c r="E12" s="25">
        <v>80</v>
      </c>
      <c r="F12" s="25"/>
      <c r="G12" s="25">
        <v>80</v>
      </c>
      <c r="H12" s="25"/>
    </row>
    <row r="13" ht="20.2" customHeight="1">
      <c r="A13" t="s" s="11">
        <v>35</v>
      </c>
      <c r="B13" s="12">
        <v>7000</v>
      </c>
      <c r="C13" s="24">
        <v>110</v>
      </c>
      <c r="D13" s="24">
        <v>220</v>
      </c>
      <c r="E13" s="24">
        <v>110</v>
      </c>
      <c r="F13" s="24">
        <v>220</v>
      </c>
      <c r="G13" s="24">
        <v>110</v>
      </c>
      <c r="H13" s="24"/>
    </row>
    <row r="14" ht="20.2" customHeight="1">
      <c r="A14" t="s" s="11">
        <v>36</v>
      </c>
      <c r="B14" s="13">
        <v>4200</v>
      </c>
      <c r="C14" s="25">
        <v>84</v>
      </c>
      <c r="D14" s="25"/>
      <c r="E14" s="25">
        <v>84</v>
      </c>
      <c r="F14" s="25"/>
      <c r="G14" s="25">
        <v>84</v>
      </c>
      <c r="H14" s="25"/>
    </row>
    <row r="15" ht="20.2" customHeight="1">
      <c r="A15" t="s" s="11">
        <v>37</v>
      </c>
      <c r="B15" s="12">
        <v>2900</v>
      </c>
      <c r="C15" s="24">
        <v>32</v>
      </c>
      <c r="D15" s="24"/>
      <c r="E15" s="24">
        <v>32</v>
      </c>
      <c r="F15" s="24"/>
      <c r="G15" s="24">
        <v>32</v>
      </c>
      <c r="H15" s="24"/>
    </row>
    <row r="16" ht="20.45" customHeight="1">
      <c r="A16" t="s" s="14">
        <v>38</v>
      </c>
      <c r="B16" s="26">
        <v>6000</v>
      </c>
      <c r="C16" s="27">
        <v>84</v>
      </c>
      <c r="D16" s="27"/>
      <c r="E16" s="27">
        <v>84</v>
      </c>
      <c r="F16" s="27"/>
      <c r="G16" s="27">
        <v>84</v>
      </c>
      <c r="H16" s="27"/>
    </row>
    <row r="17" ht="20.45" customHeight="1">
      <c r="A17" t="s" s="16">
        <v>39</v>
      </c>
      <c r="B17" s="17" cm="1">
        <f t="array" ref="B17">SUM(B2:B16)</f>
        <v>149490</v>
      </c>
      <c r="C17" s="17" cm="1">
        <f t="array" ref="C17">SUM(C2:C16)</f>
        <v>2295.33</v>
      </c>
      <c r="D17" s="17" cm="1">
        <f t="array" ref="D17">SUM(D2:D16)</f>
        <v>3350</v>
      </c>
      <c r="E17" s="17" cm="1">
        <f t="array" ref="E17">SUM(E2:E16)</f>
        <v>4590</v>
      </c>
      <c r="F17" s="17" cm="1">
        <f t="array" ref="F17">SUM(F2:F16)</f>
        <v>5535</v>
      </c>
      <c r="G17" s="17" cm="1">
        <f t="array" ref="G17">SUM(G2:G16)</f>
        <v>1748</v>
      </c>
      <c r="H17" s="17" cm="1">
        <f t="array" ref="H17">SUM(H2:H16)</f>
        <v>300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"/>
  <sheetViews>
    <sheetView workbookViewId="0" showGridLines="0" defaultGridColor="1"/>
  </sheetViews>
  <sheetFormatPr defaultColWidth="22.2344" defaultRowHeight="19.9" customHeight="1" outlineLevelRow="0" outlineLevelCol="0"/>
  <cols>
    <col min="1" max="1" width="36" style="28" customWidth="1"/>
    <col min="2" max="2" width="12" style="28" customWidth="1"/>
    <col min="3" max="16384" width="22.2422" style="28" customWidth="1"/>
  </cols>
  <sheetData>
    <row r="1" ht="20.45" customHeight="1">
      <c r="A1" t="s" s="29">
        <v>42</v>
      </c>
      <c r="B1" s="30"/>
    </row>
    <row r="2" ht="20.45" customHeight="1">
      <c r="A2" t="s" s="9">
        <v>43</v>
      </c>
      <c r="B2" s="10" cm="1">
        <f t="array" ref="B2">'Orçamento - Rendimentos'!B8-'Orçamento - Despesas'!B17</f>
        <v>28690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